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055333607DAB0C4/Desktop/Documentos/"/>
    </mc:Choice>
  </mc:AlternateContent>
  <xr:revisionPtr revIDLastSave="0" documentId="8_{0020FEDD-5C3C-4921-AB3B-E6B15BF7E205}" xr6:coauthVersionLast="47" xr6:coauthVersionMax="47" xr10:uidLastSave="{00000000-0000-0000-0000-000000000000}"/>
  <bookViews>
    <workbookView xWindow="-120" yWindow="-120" windowWidth="24240" windowHeight="13020" tabRatio="797" firstSheet="4" activeTab="4" xr2:uid="{4A80373E-1C2F-4CF6-B8F3-26267E2CCB32}"/>
  </bookViews>
  <sheets>
    <sheet name="MATERIAL" sheetId="1" r:id="rId1"/>
    <sheet name="PULSEIRA (CUSTO)" sheetId="3" r:id="rId2"/>
    <sheet name="BRINCO (CUSTO)" sheetId="4" r:id="rId3"/>
    <sheet name="COLAR (CUSTO)" sheetId="2" r:id="rId4"/>
    <sheet name="MAIO" sheetId="5" r:id="rId5"/>
    <sheet name="JUNHO" sheetId="6" r:id="rId6"/>
    <sheet name="JULHO" sheetId="7" r:id="rId7"/>
    <sheet name="AGOSTO" sheetId="8" r:id="rId8"/>
    <sheet name="MES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7" i="2" l="1"/>
  <c r="K35" i="2"/>
  <c r="H8" i="4"/>
  <c r="E10" i="4"/>
  <c r="B8" i="4"/>
  <c r="H13" i="3"/>
  <c r="E13" i="3"/>
  <c r="B13" i="3"/>
  <c r="H34" i="2"/>
  <c r="E35" i="2"/>
  <c r="B33" i="2"/>
  <c r="Q15" i="2"/>
  <c r="N13" i="2"/>
  <c r="K13" i="2"/>
  <c r="H13" i="2"/>
  <c r="E10" i="2"/>
  <c r="B9" i="2"/>
  <c r="H10" i="1"/>
</calcChain>
</file>

<file path=xl/sharedStrings.xml><?xml version="1.0" encoding="utf-8"?>
<sst xmlns="http://schemas.openxmlformats.org/spreadsheetml/2006/main" count="468" uniqueCount="157">
  <si>
    <t>CORDAS</t>
  </si>
  <si>
    <t>RESINA</t>
  </si>
  <si>
    <t>EMBALAGEM</t>
  </si>
  <si>
    <t>ACABAMENTO</t>
  </si>
  <si>
    <t>ENTREMEIO E PINGENTE</t>
  </si>
  <si>
    <t xml:space="preserve">POLIPROPILENO </t>
  </si>
  <si>
    <t>BOLA OVAL</t>
  </si>
  <si>
    <t>SACOLA</t>
  </si>
  <si>
    <t>Cola</t>
  </si>
  <si>
    <t>CP4540</t>
  </si>
  <si>
    <t>PASSADOR 22M</t>
  </si>
  <si>
    <t>1255-22</t>
  </si>
  <si>
    <t>SÃO FRANCISCO 4MM</t>
  </si>
  <si>
    <t>ENTREMEIO RESI</t>
  </si>
  <si>
    <t>SAQUINHO</t>
  </si>
  <si>
    <t>Mão de obra</t>
  </si>
  <si>
    <t>PASSAD. DUP. 23MM</t>
  </si>
  <si>
    <t>1147-21</t>
  </si>
  <si>
    <t>MARROQUINO</t>
  </si>
  <si>
    <t xml:space="preserve">RESINA DUPLA </t>
  </si>
  <si>
    <t>BRINDE</t>
  </si>
  <si>
    <t>Pingente Strass 8mm</t>
  </si>
  <si>
    <t>205-26</t>
  </si>
  <si>
    <t>PASS TUBO 36MM</t>
  </si>
  <si>
    <t>PAIQ194-6</t>
  </si>
  <si>
    <t>LENÇO</t>
  </si>
  <si>
    <t>RESINA TUBO FINO</t>
  </si>
  <si>
    <t xml:space="preserve"> CART. VISITA</t>
  </si>
  <si>
    <t>Corrente argola</t>
  </si>
  <si>
    <t>CR-65</t>
  </si>
  <si>
    <t>BRIDÃO 143MM</t>
  </si>
  <si>
    <t>MORC193-143</t>
  </si>
  <si>
    <t>CART. GARANTIA</t>
  </si>
  <si>
    <t>Fech Lagosta 14mm</t>
  </si>
  <si>
    <t>FIM357-14</t>
  </si>
  <si>
    <t>PING CORAÇ LOVE</t>
  </si>
  <si>
    <t>785-9</t>
  </si>
  <si>
    <t>CART. OBRIGADA</t>
  </si>
  <si>
    <t>Corrente</t>
  </si>
  <si>
    <t>CR-436</t>
  </si>
  <si>
    <t>PING CORAÇ 28MM</t>
  </si>
  <si>
    <t>PIGD1253-30</t>
  </si>
  <si>
    <t>FLANELA</t>
  </si>
  <si>
    <t>Terminal 13mm</t>
  </si>
  <si>
    <t>971-9</t>
  </si>
  <si>
    <t>TUBO ORGANICO</t>
  </si>
  <si>
    <t>PAID332-6</t>
  </si>
  <si>
    <t>Terminal 10mm</t>
  </si>
  <si>
    <t>PGID1010-10</t>
  </si>
  <si>
    <t>PING ESTRELA</t>
  </si>
  <si>
    <t>PGID1119-33</t>
  </si>
  <si>
    <t>TOTAL</t>
  </si>
  <si>
    <t>Argola 13mm</t>
  </si>
  <si>
    <t>AR10-15</t>
  </si>
  <si>
    <t>BASE BRINC 9,80MM</t>
  </si>
  <si>
    <t>MOB67-10</t>
  </si>
  <si>
    <t>Chapa</t>
  </si>
  <si>
    <t>AC71-45</t>
  </si>
  <si>
    <t>BASE BRINC 10MM</t>
  </si>
  <si>
    <t>MOB200-10</t>
  </si>
  <si>
    <t>Corrente Cartier</t>
  </si>
  <si>
    <t>CR-424</t>
  </si>
  <si>
    <t>BASE ARGOLA</t>
  </si>
  <si>
    <t>MOB179-34</t>
  </si>
  <si>
    <t>Argola Ingt 13mm</t>
  </si>
  <si>
    <t>PING REDOND 30MM</t>
  </si>
  <si>
    <t>PIGIR241-30</t>
  </si>
  <si>
    <t>Mosquetão 32mm</t>
  </si>
  <si>
    <t>FIM200-5</t>
  </si>
  <si>
    <t>PONTEIRA 6MM</t>
  </si>
  <si>
    <t>453-28</t>
  </si>
  <si>
    <t>PONTEIRA RED 8MM</t>
  </si>
  <si>
    <t>937-21</t>
  </si>
  <si>
    <t>ELO</t>
  </si>
  <si>
    <t>ORVALHO</t>
  </si>
  <si>
    <t>LAÇO</t>
  </si>
  <si>
    <t>CORDA POLIP</t>
  </si>
  <si>
    <t>COLA</t>
  </si>
  <si>
    <t>MÃO DE OBRA</t>
  </si>
  <si>
    <t>Custo</t>
  </si>
  <si>
    <t>Varejo 50%</t>
  </si>
  <si>
    <t>Atacado 30%</t>
  </si>
  <si>
    <t>Lucro varejo</t>
  </si>
  <si>
    <t>Lucro atacado</t>
  </si>
  <si>
    <t>BAE</t>
  </si>
  <si>
    <t>DOURÉ</t>
  </si>
  <si>
    <t>AMÁ</t>
  </si>
  <si>
    <t>RASTRO</t>
  </si>
  <si>
    <t>FLUXO</t>
  </si>
  <si>
    <t>TRAÇO</t>
  </si>
  <si>
    <t>ÂNGULO</t>
  </si>
  <si>
    <t>PONTO</t>
  </si>
  <si>
    <t>VINCULO</t>
  </si>
  <si>
    <t>CORDA POLIP.</t>
  </si>
  <si>
    <t>SÃO FRANCISCO</t>
  </si>
  <si>
    <t>CORD POLIP.</t>
  </si>
  <si>
    <t>CHAPA</t>
  </si>
  <si>
    <t>ENTREMEIO RESIN</t>
  </si>
  <si>
    <t>EIXO</t>
  </si>
  <si>
    <t>CICLO</t>
  </si>
  <si>
    <t>ECO</t>
  </si>
  <si>
    <t>DOMO</t>
  </si>
  <si>
    <t>VELO</t>
  </si>
  <si>
    <t>RESINA DUPLA</t>
  </si>
  <si>
    <t>ACESSÓRIO</t>
  </si>
  <si>
    <t>LUCRO</t>
  </si>
  <si>
    <t>PAGAMENTO</t>
  </si>
  <si>
    <t>CUSTO</t>
  </si>
  <si>
    <t>TIPO DE VENDA</t>
  </si>
  <si>
    <t>DATA</t>
  </si>
  <si>
    <t>FLUXO (HELLEN)</t>
  </si>
  <si>
    <t>DINHEIRO (PAGO)</t>
  </si>
  <si>
    <t>VAREJO</t>
  </si>
  <si>
    <t>CICLO (HELENA)</t>
  </si>
  <si>
    <t>PIX (PAGO)</t>
  </si>
  <si>
    <t>FLUXO (VANGÊLA)</t>
  </si>
  <si>
    <t>PONTO (FLAVIA)</t>
  </si>
  <si>
    <t>RASTRO (ITAMARA)</t>
  </si>
  <si>
    <t>FLUXO (ITAMARA)</t>
  </si>
  <si>
    <t>FLUXO (JULIANA)</t>
  </si>
  <si>
    <t>ECO (FLAVIA)</t>
  </si>
  <si>
    <t>RASTRO (REGINA)</t>
  </si>
  <si>
    <t>RASTRO (TICIANE)</t>
  </si>
  <si>
    <t>CARTÃO (PAGO)</t>
  </si>
  <si>
    <t>ATACADO</t>
  </si>
  <si>
    <t>DOMO (TICIANE)</t>
  </si>
  <si>
    <t>AMÁ (TICIANE)</t>
  </si>
  <si>
    <t>FLUXO (KASSIANE)</t>
  </si>
  <si>
    <t>FLUXO (ÍRIS)</t>
  </si>
  <si>
    <t>ECO (NEUSA)</t>
  </si>
  <si>
    <t>ECO (EMMILY)</t>
  </si>
  <si>
    <t>CICLO (EMMILY)</t>
  </si>
  <si>
    <t>EIXO (EMMILY)</t>
  </si>
  <si>
    <t>DOURÉ (EMMILY)</t>
  </si>
  <si>
    <t>AMÁ (EMMILY)</t>
  </si>
  <si>
    <t>LAÇO (ALDA)</t>
  </si>
  <si>
    <t>BAE (ALDA)</t>
  </si>
  <si>
    <t>ECO (DEGILANE)</t>
  </si>
  <si>
    <t>CICLO (DEGILANE)</t>
  </si>
  <si>
    <t>ÂNGULO (DEGILANE)</t>
  </si>
  <si>
    <t>RASTRO (MYLENA)</t>
  </si>
  <si>
    <t>SOPRO (MYLENA)</t>
  </si>
  <si>
    <t>ÂNGULO (ANA)</t>
  </si>
  <si>
    <t>ORVALHO (ANA)</t>
  </si>
  <si>
    <t>EIXO (JUCILENE)</t>
  </si>
  <si>
    <t>ACESSÓRIOS</t>
  </si>
  <si>
    <t>MÊS</t>
  </si>
  <si>
    <t>VENDAS</t>
  </si>
  <si>
    <t>LUCRO + M.O</t>
  </si>
  <si>
    <t>RETIRADA M</t>
  </si>
  <si>
    <t>SOBRA CUSTO</t>
  </si>
  <si>
    <t>RETIRADA LUC</t>
  </si>
  <si>
    <t>SOBRA LUCRO</t>
  </si>
  <si>
    <t>MAIO</t>
  </si>
  <si>
    <t>JUNHO</t>
  </si>
  <si>
    <t>JULHO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</si>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</sst>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0" borderId="0" xfId="0" applyNumberFormat="1"/>
    <xf numFmtId="44" fontId="0" fillId="0" borderId="0" xfId="1" applyFont="1"/>
    <xf numFmtId="0" fontId="0" fillId="0" borderId="0" xfId="0" applyAlignment="1">
      <alignment horizontal="left"/>
    </xf>
    <xf numFmtId="44" fontId="0" fillId="0" borderId="0" xfId="0" applyNumberFormat="1"/>
    <xf numFmtId="0" fontId="5" fillId="3" borderId="0" xfId="0" applyFont="1" applyFill="1" applyAlignment="1">
      <alignment horizontal="center"/>
    </xf>
    <xf numFmtId="16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FEFE-556D-4B14-B5F2-F0EE04ECB522}">
  <dimension ref="A1:R16"/>
  <sheetViews>
    <sheetView workbookViewId="0">
      <selection activeCell="D5" sqref="D5:E5"/>
    </sheetView>
  </sheetViews>
  <sheetFormatPr defaultRowHeight="15"/>
  <cols>
    <col min="1" max="1" width="20" bestFit="1" customWidth="1"/>
    <col min="4" max="4" width="18.28515625" customWidth="1"/>
    <col min="7" max="7" width="18.140625" customWidth="1"/>
    <col min="10" max="10" width="18.140625" customWidth="1"/>
    <col min="11" max="11" width="9.5703125" bestFit="1" customWidth="1"/>
    <col min="12" max="12" width="12.42578125" customWidth="1"/>
    <col min="13" max="13" width="4.28515625" hidden="1" customWidth="1"/>
    <col min="15" max="15" width="18" customWidth="1"/>
    <col min="16" max="16" width="9.5703125" bestFit="1" customWidth="1"/>
    <col min="18" max="18" width="0.140625" customWidth="1"/>
  </cols>
  <sheetData>
    <row r="1" spans="1:18">
      <c r="A1" s="2" t="s">
        <v>0</v>
      </c>
      <c r="B1" s="1"/>
      <c r="D1" s="11" t="s">
        <v>1</v>
      </c>
      <c r="E1" s="11"/>
      <c r="G1" s="11" t="s">
        <v>2</v>
      </c>
      <c r="H1" s="11"/>
      <c r="J1" s="11" t="s">
        <v>3</v>
      </c>
      <c r="K1" s="11"/>
      <c r="L1" s="11"/>
      <c r="M1" s="11"/>
      <c r="O1" s="11" t="s">
        <v>4</v>
      </c>
      <c r="P1" s="11"/>
      <c r="Q1" s="11"/>
      <c r="R1" s="11"/>
    </row>
    <row r="2" spans="1:18">
      <c r="A2" t="s">
        <v>5</v>
      </c>
      <c r="B2" s="3">
        <v>4</v>
      </c>
      <c r="D2" t="s">
        <v>6</v>
      </c>
      <c r="E2" s="3">
        <v>2.8</v>
      </c>
      <c r="G2" t="s">
        <v>7</v>
      </c>
      <c r="H2" s="3">
        <v>1.1599999999999999</v>
      </c>
      <c r="J2" t="s">
        <v>8</v>
      </c>
      <c r="K2" s="3">
        <v>1</v>
      </c>
      <c r="L2" t="s">
        <v>9</v>
      </c>
      <c r="O2" t="s">
        <v>10</v>
      </c>
      <c r="P2" s="4">
        <v>9.9499999999999993</v>
      </c>
      <c r="Q2" t="s">
        <v>11</v>
      </c>
    </row>
    <row r="3" spans="1:18">
      <c r="A3" t="s">
        <v>12</v>
      </c>
      <c r="B3" s="3">
        <v>2</v>
      </c>
      <c r="D3" t="s">
        <v>13</v>
      </c>
      <c r="E3" s="4">
        <v>2.7</v>
      </c>
      <c r="G3" t="s">
        <v>14</v>
      </c>
      <c r="H3" s="3">
        <v>2.19</v>
      </c>
      <c r="J3" t="s">
        <v>15</v>
      </c>
      <c r="K3" s="3">
        <v>10</v>
      </c>
      <c r="O3" t="s">
        <v>16</v>
      </c>
      <c r="P3" s="4">
        <v>3.67</v>
      </c>
      <c r="Q3" t="s">
        <v>17</v>
      </c>
    </row>
    <row r="4" spans="1:18">
      <c r="A4" t="s">
        <v>18</v>
      </c>
      <c r="B4" s="3">
        <v>5</v>
      </c>
      <c r="D4" t="s">
        <v>19</v>
      </c>
      <c r="E4" s="4">
        <v>5</v>
      </c>
      <c r="G4" t="s">
        <v>20</v>
      </c>
      <c r="H4" s="4">
        <v>0.65</v>
      </c>
      <c r="J4" t="s">
        <v>21</v>
      </c>
      <c r="K4" s="3">
        <v>1.1599999999999999</v>
      </c>
      <c r="L4" t="s">
        <v>22</v>
      </c>
      <c r="O4" t="s">
        <v>23</v>
      </c>
      <c r="P4" s="4">
        <v>6.15</v>
      </c>
      <c r="Q4" t="s">
        <v>24</v>
      </c>
    </row>
    <row r="5" spans="1:18">
      <c r="A5" t="s">
        <v>25</v>
      </c>
      <c r="B5" s="3">
        <v>2</v>
      </c>
      <c r="D5" t="s">
        <v>26</v>
      </c>
      <c r="E5" s="4">
        <v>4.5</v>
      </c>
      <c r="G5" t="s">
        <v>27</v>
      </c>
      <c r="H5" s="4">
        <v>0.45</v>
      </c>
      <c r="J5" t="s">
        <v>28</v>
      </c>
      <c r="K5" s="3">
        <v>0.15</v>
      </c>
      <c r="L5" t="s">
        <v>29</v>
      </c>
      <c r="O5" t="s">
        <v>30</v>
      </c>
      <c r="P5" s="4">
        <v>20.78</v>
      </c>
      <c r="Q5" t="s">
        <v>31</v>
      </c>
    </row>
    <row r="6" spans="1:18">
      <c r="G6" t="s">
        <v>32</v>
      </c>
      <c r="H6" s="4">
        <v>0.45</v>
      </c>
      <c r="J6" t="s">
        <v>33</v>
      </c>
      <c r="K6" s="3">
        <v>3.29</v>
      </c>
      <c r="L6" t="s">
        <v>34</v>
      </c>
      <c r="O6" t="s">
        <v>35</v>
      </c>
      <c r="P6" s="4">
        <v>3.41</v>
      </c>
      <c r="Q6" t="s">
        <v>36</v>
      </c>
    </row>
    <row r="7" spans="1:18">
      <c r="G7" t="s">
        <v>37</v>
      </c>
      <c r="H7" s="4">
        <v>0.45</v>
      </c>
      <c r="J7" t="s">
        <v>38</v>
      </c>
      <c r="K7" s="3">
        <v>1</v>
      </c>
      <c r="L7" t="s">
        <v>39</v>
      </c>
      <c r="O7" t="s">
        <v>40</v>
      </c>
      <c r="P7" s="4">
        <v>10.07</v>
      </c>
      <c r="Q7" t="s">
        <v>41</v>
      </c>
    </row>
    <row r="8" spans="1:18">
      <c r="G8" t="s">
        <v>42</v>
      </c>
      <c r="H8" s="4">
        <v>0.5</v>
      </c>
      <c r="J8" t="s">
        <v>43</v>
      </c>
      <c r="K8" s="3">
        <v>3.74</v>
      </c>
      <c r="L8" t="s">
        <v>44</v>
      </c>
      <c r="O8" t="s">
        <v>45</v>
      </c>
      <c r="P8" s="4">
        <v>6.15</v>
      </c>
      <c r="Q8" t="s">
        <v>46</v>
      </c>
    </row>
    <row r="9" spans="1:18">
      <c r="J9" t="s">
        <v>47</v>
      </c>
      <c r="K9" s="3">
        <v>2.58</v>
      </c>
      <c r="L9" t="s">
        <v>48</v>
      </c>
      <c r="O9" t="s">
        <v>49</v>
      </c>
      <c r="P9" s="4">
        <v>9.14</v>
      </c>
      <c r="Q9" t="s">
        <v>50</v>
      </c>
    </row>
    <row r="10" spans="1:18">
      <c r="G10" t="s">
        <v>51</v>
      </c>
      <c r="H10" s="3">
        <f>SUM(H2:H9)</f>
        <v>5.85</v>
      </c>
      <c r="J10" t="s">
        <v>52</v>
      </c>
      <c r="K10" s="3">
        <v>0.47</v>
      </c>
      <c r="L10" t="s">
        <v>53</v>
      </c>
      <c r="O10" t="s">
        <v>54</v>
      </c>
      <c r="P10" s="4">
        <v>6.28</v>
      </c>
      <c r="Q10" t="s">
        <v>55</v>
      </c>
    </row>
    <row r="11" spans="1:18">
      <c r="J11" t="s">
        <v>56</v>
      </c>
      <c r="K11" s="3">
        <v>0.74</v>
      </c>
      <c r="L11" t="s">
        <v>57</v>
      </c>
      <c r="O11" t="s">
        <v>58</v>
      </c>
      <c r="P11" s="4">
        <v>6.8</v>
      </c>
      <c r="Q11" t="s">
        <v>59</v>
      </c>
    </row>
    <row r="12" spans="1:18">
      <c r="J12" t="s">
        <v>60</v>
      </c>
      <c r="K12" s="3">
        <v>0.28999999999999998</v>
      </c>
      <c r="L12" t="s">
        <v>61</v>
      </c>
      <c r="O12" t="s">
        <v>62</v>
      </c>
      <c r="P12" s="4">
        <v>20.34</v>
      </c>
      <c r="Q12" t="s">
        <v>63</v>
      </c>
    </row>
    <row r="13" spans="1:18">
      <c r="J13" t="s">
        <v>64</v>
      </c>
      <c r="K13" s="3">
        <v>0.77</v>
      </c>
      <c r="L13" s="5">
        <v>9260</v>
      </c>
      <c r="O13" t="s">
        <v>65</v>
      </c>
      <c r="P13" s="4">
        <v>10.039999999999999</v>
      </c>
      <c r="Q13" t="s">
        <v>66</v>
      </c>
    </row>
    <row r="14" spans="1:18">
      <c r="J14" t="s">
        <v>67</v>
      </c>
      <c r="K14" s="3">
        <v>6.83</v>
      </c>
      <c r="L14" t="s">
        <v>68</v>
      </c>
    </row>
    <row r="15" spans="1:18">
      <c r="J15" t="s">
        <v>69</v>
      </c>
      <c r="K15" s="3">
        <v>0.87</v>
      </c>
      <c r="L15" t="s">
        <v>70</v>
      </c>
    </row>
    <row r="16" spans="1:18">
      <c r="J16" t="s">
        <v>71</v>
      </c>
      <c r="K16" s="3">
        <v>5.25</v>
      </c>
      <c r="L16" t="s">
        <v>72</v>
      </c>
    </row>
  </sheetData>
  <mergeCells count="6">
    <mergeCell ref="Q1:R1"/>
    <mergeCell ref="D1:E1"/>
    <mergeCell ref="G1:H1"/>
    <mergeCell ref="J1:K1"/>
    <mergeCell ref="L1:M1"/>
    <mergeCell ref="O1:P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445A-E7E5-4121-8B73-971970F5E11E}">
  <dimension ref="A1:H18"/>
  <sheetViews>
    <sheetView workbookViewId="0">
      <selection activeCell="E18" sqref="E18"/>
    </sheetView>
  </sheetViews>
  <sheetFormatPr defaultRowHeight="15"/>
  <cols>
    <col min="1" max="1" width="18.140625" customWidth="1"/>
    <col min="2" max="2" width="9.5703125" bestFit="1" customWidth="1"/>
    <col min="4" max="4" width="18.140625" customWidth="1"/>
    <col min="5" max="5" width="9.5703125" bestFit="1" customWidth="1"/>
    <col min="7" max="7" width="18" customWidth="1"/>
    <col min="8" max="8" width="9.5703125" bestFit="1" customWidth="1"/>
  </cols>
  <sheetData>
    <row r="1" spans="1:8">
      <c r="A1" s="12" t="s">
        <v>73</v>
      </c>
      <c r="B1" s="13"/>
      <c r="D1" s="12" t="s">
        <v>74</v>
      </c>
      <c r="E1" s="13"/>
      <c r="G1" s="12" t="s">
        <v>75</v>
      </c>
      <c r="H1" s="13"/>
    </row>
    <row r="2" spans="1:8">
      <c r="A2" t="s">
        <v>76</v>
      </c>
      <c r="B2" s="4">
        <v>1</v>
      </c>
      <c r="D2" t="s">
        <v>76</v>
      </c>
      <c r="E2" s="4">
        <v>1</v>
      </c>
      <c r="G2" t="s">
        <v>76</v>
      </c>
      <c r="H2" s="4">
        <v>2</v>
      </c>
    </row>
    <row r="3" spans="1:8">
      <c r="A3" t="s">
        <v>16</v>
      </c>
      <c r="B3" s="4">
        <v>7.34</v>
      </c>
      <c r="D3" t="s">
        <v>23</v>
      </c>
      <c r="E3" s="4">
        <v>6.15</v>
      </c>
      <c r="G3" t="s">
        <v>10</v>
      </c>
      <c r="H3" s="4">
        <v>9.9499999999999993</v>
      </c>
    </row>
    <row r="4" spans="1:8">
      <c r="A4" t="s">
        <v>43</v>
      </c>
      <c r="B4" s="4">
        <v>7.48</v>
      </c>
      <c r="D4" t="s">
        <v>43</v>
      </c>
      <c r="E4" s="4">
        <v>7.48</v>
      </c>
      <c r="G4" t="s">
        <v>43</v>
      </c>
      <c r="H4" s="4">
        <v>7.48</v>
      </c>
    </row>
    <row r="5" spans="1:8">
      <c r="A5" t="s">
        <v>38</v>
      </c>
      <c r="B5" s="3">
        <v>1</v>
      </c>
      <c r="D5" t="s">
        <v>38</v>
      </c>
      <c r="E5" s="3">
        <v>1</v>
      </c>
      <c r="G5" t="s">
        <v>38</v>
      </c>
      <c r="H5" s="3">
        <v>1</v>
      </c>
    </row>
    <row r="6" spans="1:8">
      <c r="A6" t="s">
        <v>28</v>
      </c>
      <c r="B6" s="4">
        <v>0.3</v>
      </c>
      <c r="D6" t="s">
        <v>28</v>
      </c>
      <c r="E6" s="4">
        <v>0.3</v>
      </c>
      <c r="G6" t="s">
        <v>28</v>
      </c>
      <c r="H6" s="4">
        <v>0.3</v>
      </c>
    </row>
    <row r="7" spans="1:8">
      <c r="A7" t="s">
        <v>33</v>
      </c>
      <c r="B7" s="3">
        <v>3.29</v>
      </c>
      <c r="D7" t="s">
        <v>33</v>
      </c>
      <c r="E7" s="3">
        <v>3.29</v>
      </c>
      <c r="G7" t="s">
        <v>33</v>
      </c>
      <c r="H7" s="3">
        <v>3.29</v>
      </c>
    </row>
    <row r="8" spans="1:8">
      <c r="A8" t="s">
        <v>21</v>
      </c>
      <c r="B8" s="3">
        <v>1.1599999999999999</v>
      </c>
      <c r="D8" t="s">
        <v>21</v>
      </c>
      <c r="E8" s="3">
        <v>1.1599999999999999</v>
      </c>
      <c r="G8" t="s">
        <v>21</v>
      </c>
      <c r="H8" s="3">
        <v>1.1599999999999999</v>
      </c>
    </row>
    <row r="9" spans="1:8">
      <c r="A9" t="s">
        <v>77</v>
      </c>
      <c r="B9" s="4">
        <v>1</v>
      </c>
      <c r="D9" t="s">
        <v>77</v>
      </c>
      <c r="E9" s="4">
        <v>1</v>
      </c>
      <c r="G9" t="s">
        <v>77</v>
      </c>
      <c r="H9" s="4">
        <v>1</v>
      </c>
    </row>
    <row r="10" spans="1:8">
      <c r="A10" t="s">
        <v>78</v>
      </c>
      <c r="B10" s="4">
        <v>5</v>
      </c>
      <c r="D10" t="s">
        <v>78</v>
      </c>
      <c r="E10" s="4">
        <v>5</v>
      </c>
      <c r="G10" t="s">
        <v>78</v>
      </c>
      <c r="H10" s="4">
        <v>5</v>
      </c>
    </row>
    <row r="11" spans="1:8">
      <c r="A11" t="s">
        <v>2</v>
      </c>
      <c r="B11" s="4">
        <v>5.85</v>
      </c>
      <c r="D11" t="s">
        <v>2</v>
      </c>
      <c r="E11" s="4">
        <v>5.85</v>
      </c>
      <c r="G11" t="s">
        <v>2</v>
      </c>
      <c r="H11" s="4">
        <v>5.85</v>
      </c>
    </row>
    <row r="13" spans="1:8">
      <c r="A13" t="s">
        <v>79</v>
      </c>
      <c r="B13" s="6">
        <f>SUM(B2:B12)</f>
        <v>33.42</v>
      </c>
      <c r="D13" t="s">
        <v>79</v>
      </c>
      <c r="E13" s="4">
        <f>SUM(E2:E12)</f>
        <v>32.230000000000004</v>
      </c>
      <c r="G13" t="s">
        <v>79</v>
      </c>
      <c r="H13" s="4">
        <f>SUM(H2:H12)</f>
        <v>37.03</v>
      </c>
    </row>
    <row r="14" spans="1:8">
      <c r="A14" t="s">
        <v>80</v>
      </c>
      <c r="B14" s="6">
        <v>50</v>
      </c>
      <c r="D14" t="s">
        <v>80</v>
      </c>
      <c r="E14" s="4">
        <v>48</v>
      </c>
      <c r="G14" t="s">
        <v>80</v>
      </c>
      <c r="H14" s="4">
        <v>55</v>
      </c>
    </row>
    <row r="15" spans="1:8">
      <c r="A15" t="s">
        <v>81</v>
      </c>
      <c r="B15" s="6">
        <v>45</v>
      </c>
      <c r="D15" t="s">
        <v>81</v>
      </c>
      <c r="E15" s="4">
        <v>42</v>
      </c>
      <c r="G15" t="s">
        <v>81</v>
      </c>
      <c r="H15" s="4">
        <v>48</v>
      </c>
    </row>
    <row r="17" spans="1:8">
      <c r="A17" t="s">
        <v>82</v>
      </c>
      <c r="B17" s="4">
        <v>16.88</v>
      </c>
      <c r="D17" t="s">
        <v>82</v>
      </c>
      <c r="E17" s="4">
        <v>16.07</v>
      </c>
      <c r="G17" t="s">
        <v>82</v>
      </c>
      <c r="H17" s="4">
        <v>17.97</v>
      </c>
    </row>
    <row r="18" spans="1:8">
      <c r="A18" t="s">
        <v>83</v>
      </c>
      <c r="B18" s="6">
        <v>11.88</v>
      </c>
      <c r="D18" t="s">
        <v>83</v>
      </c>
      <c r="E18" s="4">
        <v>10.07</v>
      </c>
      <c r="G18" t="s">
        <v>83</v>
      </c>
      <c r="H18" s="4">
        <v>10.97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E7A1-8840-4D01-BA1E-25E1178A64F4}">
  <dimension ref="A1:H15"/>
  <sheetViews>
    <sheetView workbookViewId="0">
      <selection activeCell="B13" sqref="B13"/>
    </sheetView>
  </sheetViews>
  <sheetFormatPr defaultRowHeight="15"/>
  <cols>
    <col min="1" max="1" width="18" customWidth="1"/>
    <col min="2" max="2" width="9.5703125" bestFit="1" customWidth="1"/>
    <col min="4" max="4" width="18.140625" customWidth="1"/>
    <col min="5" max="5" width="9.5703125" bestFit="1" customWidth="1"/>
    <col min="7" max="7" width="18.140625" customWidth="1"/>
    <col min="8" max="8" width="9.5703125" bestFit="1" customWidth="1"/>
  </cols>
  <sheetData>
    <row r="1" spans="1:8">
      <c r="A1" s="12" t="s">
        <v>84</v>
      </c>
      <c r="B1" s="13"/>
      <c r="D1" s="12" t="s">
        <v>85</v>
      </c>
      <c r="E1" s="13"/>
      <c r="G1" s="12" t="s">
        <v>86</v>
      </c>
      <c r="H1" s="13"/>
    </row>
    <row r="2" spans="1:8">
      <c r="A2" t="s">
        <v>76</v>
      </c>
      <c r="B2" s="4">
        <v>1</v>
      </c>
      <c r="D2" t="s">
        <v>76</v>
      </c>
      <c r="E2" s="4">
        <v>1</v>
      </c>
      <c r="G2" t="s">
        <v>76</v>
      </c>
      <c r="H2" s="4">
        <v>1</v>
      </c>
    </row>
    <row r="3" spans="1:8">
      <c r="A3" t="s">
        <v>58</v>
      </c>
      <c r="B3" s="4">
        <v>6.8</v>
      </c>
      <c r="D3" t="s">
        <v>54</v>
      </c>
      <c r="E3" s="4">
        <v>6.28</v>
      </c>
      <c r="G3" t="s">
        <v>62</v>
      </c>
      <c r="H3" s="4">
        <v>20.34</v>
      </c>
    </row>
    <row r="4" spans="1:8">
      <c r="A4" t="s">
        <v>77</v>
      </c>
      <c r="B4" s="4">
        <v>1</v>
      </c>
      <c r="D4" t="s">
        <v>43</v>
      </c>
      <c r="E4" s="4">
        <v>7.48</v>
      </c>
      <c r="G4" t="s">
        <v>77</v>
      </c>
      <c r="H4" s="4">
        <v>1</v>
      </c>
    </row>
    <row r="5" spans="1:8">
      <c r="A5" t="s">
        <v>78</v>
      </c>
      <c r="B5" s="4">
        <v>5</v>
      </c>
      <c r="D5" t="s">
        <v>28</v>
      </c>
      <c r="E5" s="4">
        <v>0.3</v>
      </c>
      <c r="G5" t="s">
        <v>78</v>
      </c>
      <c r="H5" s="4">
        <v>5</v>
      </c>
    </row>
    <row r="6" spans="1:8">
      <c r="A6" t="s">
        <v>2</v>
      </c>
      <c r="B6" s="4">
        <v>5.85</v>
      </c>
      <c r="D6" t="s">
        <v>77</v>
      </c>
      <c r="E6" s="4">
        <v>1</v>
      </c>
      <c r="G6" t="s">
        <v>2</v>
      </c>
      <c r="H6" s="4">
        <v>5.85</v>
      </c>
    </row>
    <row r="7" spans="1:8">
      <c r="D7" t="s">
        <v>78</v>
      </c>
      <c r="E7" s="4">
        <v>5</v>
      </c>
    </row>
    <row r="8" spans="1:8">
      <c r="A8" t="s">
        <v>79</v>
      </c>
      <c r="B8" s="4">
        <f>SUM(B2:B7)</f>
        <v>19.649999999999999</v>
      </c>
      <c r="D8" t="s">
        <v>2</v>
      </c>
      <c r="E8" s="4">
        <v>5.85</v>
      </c>
      <c r="G8" t="s">
        <v>79</v>
      </c>
      <c r="H8" s="6">
        <f>SUM(H2:H7)</f>
        <v>33.19</v>
      </c>
    </row>
    <row r="9" spans="1:8">
      <c r="A9" t="s">
        <v>80</v>
      </c>
      <c r="B9" s="4">
        <v>30</v>
      </c>
      <c r="G9" t="s">
        <v>80</v>
      </c>
      <c r="H9" s="6">
        <v>45</v>
      </c>
    </row>
    <row r="10" spans="1:8">
      <c r="A10" t="s">
        <v>81</v>
      </c>
      <c r="B10" s="4">
        <v>25</v>
      </c>
      <c r="D10" t="s">
        <v>79</v>
      </c>
      <c r="E10" s="4">
        <f>SUM(E2:E9)</f>
        <v>26.910000000000004</v>
      </c>
      <c r="G10" t="s">
        <v>81</v>
      </c>
      <c r="H10" s="6">
        <v>40</v>
      </c>
    </row>
    <row r="11" spans="1:8">
      <c r="D11" t="s">
        <v>80</v>
      </c>
      <c r="E11" s="4">
        <v>40</v>
      </c>
    </row>
    <row r="12" spans="1:8">
      <c r="A12" t="s">
        <v>82</v>
      </c>
      <c r="B12" s="4">
        <v>10.35</v>
      </c>
      <c r="D12" t="s">
        <v>81</v>
      </c>
      <c r="E12" s="4">
        <v>35</v>
      </c>
      <c r="G12" t="s">
        <v>82</v>
      </c>
      <c r="H12" s="4">
        <v>11.81</v>
      </c>
    </row>
    <row r="13" spans="1:8">
      <c r="A13" t="s">
        <v>83</v>
      </c>
      <c r="B13" s="4">
        <v>5.35</v>
      </c>
      <c r="G13" t="s">
        <v>83</v>
      </c>
      <c r="H13" s="6">
        <v>6.81</v>
      </c>
    </row>
    <row r="14" spans="1:8">
      <c r="D14" t="s">
        <v>82</v>
      </c>
      <c r="E14" s="4">
        <v>13.09</v>
      </c>
    </row>
    <row r="15" spans="1:8">
      <c r="D15" t="s">
        <v>83</v>
      </c>
      <c r="E15" s="4">
        <v>8.09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A5CA-B0B7-4420-A1D8-71CF5E6934E8}">
  <dimension ref="A1:Q42"/>
  <sheetViews>
    <sheetView topLeftCell="A14" workbookViewId="0">
      <selection activeCell="B37" sqref="B37"/>
    </sheetView>
  </sheetViews>
  <sheetFormatPr defaultRowHeight="15"/>
  <cols>
    <col min="1" max="1" width="18.28515625" customWidth="1"/>
    <col min="2" max="2" width="9.5703125" bestFit="1" customWidth="1"/>
    <col min="4" max="4" width="18.28515625" customWidth="1"/>
    <col min="5" max="5" width="9.5703125" bestFit="1" customWidth="1"/>
    <col min="7" max="7" width="18.140625" customWidth="1"/>
    <col min="8" max="8" width="9.5703125" bestFit="1" customWidth="1"/>
    <col min="10" max="10" width="18" customWidth="1"/>
    <col min="11" max="11" width="9.5703125" bestFit="1" customWidth="1"/>
    <col min="13" max="13" width="18" customWidth="1"/>
    <col min="14" max="14" width="9.5703125" bestFit="1" customWidth="1"/>
    <col min="16" max="16" width="18.140625" customWidth="1"/>
    <col min="17" max="17" width="9.5703125" bestFit="1" customWidth="1"/>
  </cols>
  <sheetData>
    <row r="1" spans="1:17">
      <c r="A1" s="12" t="s">
        <v>87</v>
      </c>
      <c r="B1" s="13"/>
      <c r="D1" s="12" t="s">
        <v>88</v>
      </c>
      <c r="E1" s="13"/>
      <c r="G1" s="12" t="s">
        <v>89</v>
      </c>
      <c r="H1" s="13"/>
      <c r="J1" s="12" t="s">
        <v>90</v>
      </c>
      <c r="K1" s="13"/>
      <c r="M1" s="12" t="s">
        <v>91</v>
      </c>
      <c r="N1" s="13"/>
      <c r="P1" s="12" t="s">
        <v>92</v>
      </c>
      <c r="Q1" s="13"/>
    </row>
    <row r="2" spans="1:17">
      <c r="A2" t="s">
        <v>93</v>
      </c>
      <c r="B2" s="4">
        <v>6</v>
      </c>
      <c r="D2" t="s">
        <v>18</v>
      </c>
      <c r="E2" s="4">
        <v>8</v>
      </c>
      <c r="G2" t="s">
        <v>76</v>
      </c>
      <c r="H2" s="4">
        <v>2</v>
      </c>
      <c r="J2" t="s">
        <v>94</v>
      </c>
      <c r="K2" s="4">
        <v>2</v>
      </c>
      <c r="M2" t="s">
        <v>95</v>
      </c>
      <c r="N2" s="4">
        <v>10</v>
      </c>
      <c r="P2" t="s">
        <v>25</v>
      </c>
      <c r="Q2" s="3">
        <v>2</v>
      </c>
    </row>
    <row r="3" spans="1:17">
      <c r="A3" t="s">
        <v>96</v>
      </c>
      <c r="B3" s="4">
        <v>0.74</v>
      </c>
      <c r="D3" t="s">
        <v>28</v>
      </c>
      <c r="E3" s="3">
        <v>0.15</v>
      </c>
      <c r="G3" t="s">
        <v>97</v>
      </c>
      <c r="H3" s="4">
        <v>5.4</v>
      </c>
      <c r="J3" t="s">
        <v>45</v>
      </c>
      <c r="K3" s="4">
        <v>6.15</v>
      </c>
      <c r="M3" t="s">
        <v>96</v>
      </c>
      <c r="N3" s="4">
        <v>1.48</v>
      </c>
      <c r="P3" t="s">
        <v>28</v>
      </c>
      <c r="Q3" s="3">
        <v>0.3</v>
      </c>
    </row>
    <row r="4" spans="1:17">
      <c r="A4" t="s">
        <v>6</v>
      </c>
      <c r="B4" s="3">
        <v>2.8</v>
      </c>
      <c r="D4" t="s">
        <v>69</v>
      </c>
      <c r="E4" s="4">
        <v>1.74</v>
      </c>
      <c r="G4" t="s">
        <v>43</v>
      </c>
      <c r="H4" s="4">
        <v>7.48</v>
      </c>
      <c r="J4" t="s">
        <v>47</v>
      </c>
      <c r="K4" s="4">
        <v>5.16</v>
      </c>
      <c r="M4" t="s">
        <v>43</v>
      </c>
      <c r="N4" s="4">
        <v>7.48</v>
      </c>
      <c r="P4" t="s">
        <v>49</v>
      </c>
      <c r="Q4" s="4">
        <v>9.14</v>
      </c>
    </row>
    <row r="5" spans="1:17">
      <c r="A5" t="s">
        <v>77</v>
      </c>
      <c r="B5" s="4">
        <v>1</v>
      </c>
      <c r="D5" t="s">
        <v>35</v>
      </c>
      <c r="E5" s="4">
        <v>3.41</v>
      </c>
      <c r="G5" t="s">
        <v>38</v>
      </c>
      <c r="H5" s="3">
        <v>1</v>
      </c>
      <c r="J5" t="s">
        <v>38</v>
      </c>
      <c r="K5" s="3">
        <v>1</v>
      </c>
      <c r="M5" t="s">
        <v>38</v>
      </c>
      <c r="N5" s="3">
        <v>1</v>
      </c>
      <c r="P5" t="s">
        <v>52</v>
      </c>
      <c r="Q5" s="3">
        <v>0.47</v>
      </c>
    </row>
    <row r="6" spans="1:17">
      <c r="A6" t="s">
        <v>78</v>
      </c>
      <c r="B6" s="4">
        <v>10</v>
      </c>
      <c r="D6" t="s">
        <v>77</v>
      </c>
      <c r="E6" s="4">
        <v>1</v>
      </c>
      <c r="G6" t="s">
        <v>33</v>
      </c>
      <c r="H6" s="3">
        <v>3.29</v>
      </c>
      <c r="J6" t="s">
        <v>33</v>
      </c>
      <c r="K6" s="3">
        <v>3.29</v>
      </c>
      <c r="M6" t="s">
        <v>33</v>
      </c>
      <c r="N6" s="3">
        <v>3.29</v>
      </c>
      <c r="P6" t="s">
        <v>64</v>
      </c>
      <c r="Q6" s="3">
        <v>3.08</v>
      </c>
    </row>
    <row r="7" spans="1:17">
      <c r="A7" t="s">
        <v>2</v>
      </c>
      <c r="B7" s="4">
        <v>5.85</v>
      </c>
      <c r="D7" t="s">
        <v>78</v>
      </c>
      <c r="E7" s="4">
        <v>10</v>
      </c>
      <c r="G7" t="s">
        <v>28</v>
      </c>
      <c r="H7" s="4">
        <v>0.3</v>
      </c>
      <c r="J7" t="s">
        <v>28</v>
      </c>
      <c r="K7" s="4">
        <v>0.3</v>
      </c>
      <c r="M7" t="s">
        <v>28</v>
      </c>
      <c r="N7" s="4">
        <v>0.3</v>
      </c>
      <c r="P7" t="s">
        <v>43</v>
      </c>
      <c r="Q7" s="4">
        <v>7.48</v>
      </c>
    </row>
    <row r="8" spans="1:17">
      <c r="D8" t="s">
        <v>2</v>
      </c>
      <c r="E8" s="4">
        <v>5.85</v>
      </c>
      <c r="G8" t="s">
        <v>21</v>
      </c>
      <c r="H8" s="3">
        <v>1.1599999999999999</v>
      </c>
      <c r="J8" t="s">
        <v>21</v>
      </c>
      <c r="K8" s="3">
        <v>1.1599999999999999</v>
      </c>
      <c r="M8" t="s">
        <v>21</v>
      </c>
      <c r="N8" s="3">
        <v>1.1599999999999999</v>
      </c>
      <c r="P8" t="s">
        <v>38</v>
      </c>
      <c r="Q8" s="3">
        <v>1</v>
      </c>
    </row>
    <row r="9" spans="1:17">
      <c r="A9" t="s">
        <v>79</v>
      </c>
      <c r="B9" s="6">
        <f>SUM(B2:B8)</f>
        <v>26.39</v>
      </c>
      <c r="G9" t="s">
        <v>77</v>
      </c>
      <c r="H9" s="4">
        <v>1</v>
      </c>
      <c r="J9" t="s">
        <v>77</v>
      </c>
      <c r="K9" s="4">
        <v>1</v>
      </c>
      <c r="M9" t="s">
        <v>77</v>
      </c>
      <c r="N9" s="4">
        <v>1</v>
      </c>
      <c r="P9" t="s">
        <v>33</v>
      </c>
      <c r="Q9" s="3">
        <v>3.29</v>
      </c>
    </row>
    <row r="10" spans="1:17">
      <c r="A10" t="s">
        <v>80</v>
      </c>
      <c r="B10" s="6">
        <v>40</v>
      </c>
      <c r="D10" t="s">
        <v>79</v>
      </c>
      <c r="E10" s="6">
        <f>SUM(E2:E9)</f>
        <v>30.15</v>
      </c>
      <c r="G10" t="s">
        <v>78</v>
      </c>
      <c r="H10" s="4">
        <v>10</v>
      </c>
      <c r="J10" t="s">
        <v>78</v>
      </c>
      <c r="K10" s="4">
        <v>10</v>
      </c>
      <c r="M10" t="s">
        <v>78</v>
      </c>
      <c r="N10" s="4">
        <v>10</v>
      </c>
      <c r="P10" t="s">
        <v>21</v>
      </c>
      <c r="Q10" s="3">
        <v>1.1599999999999999</v>
      </c>
    </row>
    <row r="11" spans="1:17">
      <c r="A11" t="s">
        <v>81</v>
      </c>
      <c r="B11" s="6">
        <v>35</v>
      </c>
      <c r="D11" t="s">
        <v>80</v>
      </c>
      <c r="E11" s="6">
        <v>45</v>
      </c>
      <c r="G11" t="s">
        <v>2</v>
      </c>
      <c r="H11" s="4">
        <v>5.85</v>
      </c>
      <c r="J11" t="s">
        <v>2</v>
      </c>
      <c r="K11" s="4">
        <v>5.85</v>
      </c>
      <c r="M11" t="s">
        <v>2</v>
      </c>
      <c r="N11" s="4">
        <v>5.85</v>
      </c>
      <c r="P11" t="s">
        <v>77</v>
      </c>
      <c r="Q11" s="4">
        <v>1</v>
      </c>
    </row>
    <row r="12" spans="1:17">
      <c r="D12" t="s">
        <v>81</v>
      </c>
      <c r="E12" s="6">
        <v>40</v>
      </c>
      <c r="P12" t="s">
        <v>78</v>
      </c>
      <c r="Q12" s="4">
        <v>10</v>
      </c>
    </row>
    <row r="13" spans="1:17">
      <c r="A13" t="s">
        <v>82</v>
      </c>
      <c r="B13" s="4">
        <v>13.61</v>
      </c>
      <c r="G13" t="s">
        <v>79</v>
      </c>
      <c r="H13" s="6">
        <f>SUM(H2:H12)</f>
        <v>37.480000000000004</v>
      </c>
      <c r="J13" t="s">
        <v>79</v>
      </c>
      <c r="K13" s="6">
        <f>SUM(K2:K12)</f>
        <v>35.910000000000004</v>
      </c>
      <c r="M13" t="s">
        <v>79</v>
      </c>
      <c r="N13" s="6">
        <f>SUM(N2:N12)</f>
        <v>41.56</v>
      </c>
      <c r="P13" t="s">
        <v>2</v>
      </c>
      <c r="Q13" s="4">
        <v>5.85</v>
      </c>
    </row>
    <row r="14" spans="1:17">
      <c r="A14" t="s">
        <v>83</v>
      </c>
      <c r="B14" s="4">
        <v>8.61</v>
      </c>
      <c r="D14" t="s">
        <v>82</v>
      </c>
      <c r="E14" s="4">
        <v>14.85</v>
      </c>
      <c r="G14" t="s">
        <v>80</v>
      </c>
      <c r="H14" s="6">
        <v>58</v>
      </c>
      <c r="J14" t="s">
        <v>80</v>
      </c>
      <c r="K14" s="6">
        <v>60</v>
      </c>
      <c r="M14" t="s">
        <v>80</v>
      </c>
      <c r="N14" s="6">
        <v>60</v>
      </c>
    </row>
    <row r="15" spans="1:17">
      <c r="D15" t="s">
        <v>83</v>
      </c>
      <c r="E15" s="4">
        <v>9.85</v>
      </c>
      <c r="G15" t="s">
        <v>81</v>
      </c>
      <c r="H15" s="6">
        <v>50</v>
      </c>
      <c r="J15" t="s">
        <v>81</v>
      </c>
      <c r="K15" s="6">
        <v>50</v>
      </c>
      <c r="M15" t="s">
        <v>81</v>
      </c>
      <c r="N15" s="6">
        <v>55</v>
      </c>
      <c r="P15" t="s">
        <v>79</v>
      </c>
      <c r="Q15" s="3">
        <f>SUM(Q2:Q14)</f>
        <v>44.77</v>
      </c>
    </row>
    <row r="16" spans="1:17">
      <c r="P16" t="s">
        <v>80</v>
      </c>
      <c r="Q16" s="4">
        <v>65</v>
      </c>
    </row>
    <row r="17" spans="1:17">
      <c r="G17" t="s">
        <v>82</v>
      </c>
      <c r="H17" s="4">
        <v>20.52</v>
      </c>
      <c r="J17" t="s">
        <v>82</v>
      </c>
      <c r="K17" s="4">
        <v>24.09</v>
      </c>
      <c r="M17" t="s">
        <v>82</v>
      </c>
      <c r="N17" s="4">
        <v>18.440000000000001</v>
      </c>
      <c r="P17" t="s">
        <v>81</v>
      </c>
      <c r="Q17" s="4">
        <v>60</v>
      </c>
    </row>
    <row r="18" spans="1:17">
      <c r="G18" t="s">
        <v>83</v>
      </c>
      <c r="H18" s="6">
        <v>12.52</v>
      </c>
      <c r="J18" t="s">
        <v>83</v>
      </c>
      <c r="K18" s="6">
        <v>14.09</v>
      </c>
      <c r="M18" t="s">
        <v>83</v>
      </c>
      <c r="N18" s="6">
        <v>13.44</v>
      </c>
    </row>
    <row r="19" spans="1:17">
      <c r="P19" t="s">
        <v>82</v>
      </c>
      <c r="Q19" s="4">
        <v>20.23</v>
      </c>
    </row>
    <row r="20" spans="1:17">
      <c r="P20" t="s">
        <v>83</v>
      </c>
      <c r="Q20" s="4">
        <v>15.23</v>
      </c>
    </row>
    <row r="22" spans="1:17">
      <c r="A22" s="12" t="s">
        <v>98</v>
      </c>
      <c r="B22" s="13"/>
      <c r="D22" s="12" t="s">
        <v>99</v>
      </c>
      <c r="E22" s="13"/>
      <c r="G22" s="12" t="s">
        <v>100</v>
      </c>
      <c r="H22" s="13"/>
      <c r="J22" s="12" t="s">
        <v>101</v>
      </c>
      <c r="K22" s="13"/>
      <c r="M22" s="12" t="s">
        <v>102</v>
      </c>
      <c r="N22" s="13"/>
    </row>
    <row r="23" spans="1:17">
      <c r="A23" t="s">
        <v>76</v>
      </c>
      <c r="B23" s="4">
        <v>2</v>
      </c>
      <c r="D23" t="s">
        <v>94</v>
      </c>
      <c r="E23" s="4">
        <v>2</v>
      </c>
      <c r="G23" t="s">
        <v>76</v>
      </c>
      <c r="H23" s="4">
        <v>2</v>
      </c>
      <c r="J23" t="s">
        <v>76</v>
      </c>
      <c r="K23" s="4">
        <v>2</v>
      </c>
      <c r="M23" t="s">
        <v>76</v>
      </c>
      <c r="N23" s="4">
        <v>4</v>
      </c>
    </row>
    <row r="24" spans="1:17">
      <c r="A24" t="s">
        <v>43</v>
      </c>
      <c r="B24" s="4">
        <v>7.48</v>
      </c>
      <c r="D24" t="s">
        <v>60</v>
      </c>
      <c r="E24" s="4">
        <v>14.5</v>
      </c>
      <c r="G24" t="s">
        <v>30</v>
      </c>
      <c r="H24" s="4">
        <v>20.78</v>
      </c>
      <c r="J24" t="s">
        <v>43</v>
      </c>
      <c r="K24" s="4">
        <v>7.48</v>
      </c>
      <c r="M24" t="s">
        <v>43</v>
      </c>
      <c r="N24" s="4">
        <v>7.48</v>
      </c>
    </row>
    <row r="25" spans="1:17">
      <c r="A25" t="s">
        <v>28</v>
      </c>
      <c r="B25" s="3">
        <v>0.15</v>
      </c>
      <c r="D25" t="s">
        <v>40</v>
      </c>
      <c r="E25" s="4">
        <v>10.07</v>
      </c>
      <c r="G25" t="s">
        <v>43</v>
      </c>
      <c r="H25" s="4">
        <v>14.96</v>
      </c>
      <c r="J25" t="s">
        <v>38</v>
      </c>
      <c r="K25" s="3">
        <v>1</v>
      </c>
      <c r="M25" t="s">
        <v>38</v>
      </c>
      <c r="N25" s="3">
        <v>1</v>
      </c>
    </row>
    <row r="26" spans="1:17">
      <c r="A26" t="s">
        <v>52</v>
      </c>
      <c r="B26" s="4">
        <v>0.94</v>
      </c>
      <c r="D26" t="s">
        <v>47</v>
      </c>
      <c r="E26" s="4">
        <v>5.16</v>
      </c>
      <c r="G26" t="s">
        <v>28</v>
      </c>
      <c r="H26" s="4">
        <v>0.6</v>
      </c>
      <c r="J26" t="s">
        <v>33</v>
      </c>
      <c r="K26" s="3">
        <v>3.29</v>
      </c>
      <c r="M26" t="s">
        <v>33</v>
      </c>
      <c r="N26" s="3">
        <v>3.29</v>
      </c>
    </row>
    <row r="27" spans="1:17">
      <c r="A27" t="s">
        <v>67</v>
      </c>
      <c r="B27" s="3">
        <v>6.83</v>
      </c>
      <c r="D27" t="s">
        <v>38</v>
      </c>
      <c r="E27" s="3">
        <v>1</v>
      </c>
      <c r="G27" t="s">
        <v>38</v>
      </c>
      <c r="H27" s="3">
        <v>1</v>
      </c>
      <c r="J27" t="s">
        <v>28</v>
      </c>
      <c r="K27" s="4">
        <v>0.3</v>
      </c>
      <c r="M27" t="s">
        <v>28</v>
      </c>
      <c r="N27" s="4">
        <v>0.3</v>
      </c>
    </row>
    <row r="28" spans="1:17">
      <c r="A28" t="s">
        <v>65</v>
      </c>
      <c r="B28" s="4">
        <v>10.039999999999999</v>
      </c>
      <c r="D28" t="s">
        <v>33</v>
      </c>
      <c r="E28" s="3">
        <v>3.29</v>
      </c>
      <c r="G28" t="s">
        <v>33</v>
      </c>
      <c r="H28" s="3">
        <v>3.29</v>
      </c>
      <c r="J28" t="s">
        <v>21</v>
      </c>
      <c r="K28" s="3">
        <v>1.1599999999999999</v>
      </c>
      <c r="M28" t="s">
        <v>21</v>
      </c>
      <c r="N28" s="3">
        <v>1.1599999999999999</v>
      </c>
    </row>
    <row r="29" spans="1:17">
      <c r="A29" t="s">
        <v>77</v>
      </c>
      <c r="B29" s="4">
        <v>1</v>
      </c>
      <c r="D29" t="s">
        <v>28</v>
      </c>
      <c r="E29" s="4">
        <v>0.3</v>
      </c>
      <c r="G29" t="s">
        <v>21</v>
      </c>
      <c r="H29" s="3">
        <v>1.1599999999999999</v>
      </c>
      <c r="J29" t="s">
        <v>77</v>
      </c>
      <c r="K29" s="4">
        <v>1</v>
      </c>
      <c r="M29" t="s">
        <v>77</v>
      </c>
      <c r="N29" s="4">
        <v>1</v>
      </c>
    </row>
    <row r="30" spans="1:17">
      <c r="A30" t="s">
        <v>78</v>
      </c>
      <c r="B30" s="4">
        <v>10</v>
      </c>
      <c r="D30" t="s">
        <v>21</v>
      </c>
      <c r="E30" s="3">
        <v>1.1599999999999999</v>
      </c>
      <c r="G30" t="s">
        <v>77</v>
      </c>
      <c r="H30" s="4">
        <v>1</v>
      </c>
      <c r="J30" t="s">
        <v>78</v>
      </c>
      <c r="K30" s="4">
        <v>10</v>
      </c>
      <c r="M30" t="s">
        <v>78</v>
      </c>
      <c r="N30" s="4">
        <v>10</v>
      </c>
    </row>
    <row r="31" spans="1:17">
      <c r="A31" t="s">
        <v>2</v>
      </c>
      <c r="B31" s="4">
        <v>5.85</v>
      </c>
      <c r="D31" t="s">
        <v>77</v>
      </c>
      <c r="E31" s="4">
        <v>1</v>
      </c>
      <c r="G31" t="s">
        <v>78</v>
      </c>
      <c r="H31" s="4">
        <v>10</v>
      </c>
      <c r="J31" t="s">
        <v>2</v>
      </c>
      <c r="K31" s="4">
        <v>5.85</v>
      </c>
      <c r="M31" t="s">
        <v>2</v>
      </c>
      <c r="N31" s="4">
        <v>5.85</v>
      </c>
    </row>
    <row r="32" spans="1:17">
      <c r="D32" t="s">
        <v>78</v>
      </c>
      <c r="E32" s="4">
        <v>10</v>
      </c>
      <c r="G32" t="s">
        <v>2</v>
      </c>
      <c r="H32" s="4">
        <v>5.85</v>
      </c>
      <c r="J32" t="s">
        <v>103</v>
      </c>
      <c r="K32" s="4">
        <v>5</v>
      </c>
      <c r="M32" t="s">
        <v>38</v>
      </c>
      <c r="N32" s="4">
        <v>1.5</v>
      </c>
    </row>
    <row r="33" spans="1:14">
      <c r="A33" t="s">
        <v>79</v>
      </c>
      <c r="B33" s="6">
        <f>SUM(B23:B32)</f>
        <v>44.29</v>
      </c>
      <c r="D33" t="s">
        <v>2</v>
      </c>
      <c r="E33" s="4">
        <v>5.85</v>
      </c>
      <c r="J33" t="s">
        <v>71</v>
      </c>
      <c r="K33" s="4">
        <v>10.5</v>
      </c>
      <c r="M33" t="s">
        <v>43</v>
      </c>
      <c r="N33" s="4">
        <v>7.48</v>
      </c>
    </row>
    <row r="34" spans="1:14">
      <c r="A34" t="s">
        <v>80</v>
      </c>
      <c r="B34" s="6">
        <v>70</v>
      </c>
      <c r="G34" t="s">
        <v>79</v>
      </c>
      <c r="H34" s="6">
        <f>SUM(H23:H33)</f>
        <v>60.64</v>
      </c>
      <c r="M34" t="s">
        <v>28</v>
      </c>
      <c r="N34" s="4">
        <v>0.3</v>
      </c>
    </row>
    <row r="35" spans="1:14">
      <c r="A35" t="s">
        <v>81</v>
      </c>
      <c r="B35" s="6">
        <v>62</v>
      </c>
      <c r="D35" t="s">
        <v>79</v>
      </c>
      <c r="E35" s="6">
        <f>SUM(E23:E34)</f>
        <v>54.33</v>
      </c>
      <c r="G35" t="s">
        <v>80</v>
      </c>
      <c r="H35" s="6">
        <v>85</v>
      </c>
      <c r="J35" t="s">
        <v>79</v>
      </c>
      <c r="K35" s="6">
        <f>SUM(K23:K34)</f>
        <v>47.58</v>
      </c>
      <c r="M35" t="s">
        <v>26</v>
      </c>
      <c r="N35" s="4">
        <v>4.5</v>
      </c>
    </row>
    <row r="36" spans="1:14">
      <c r="D36" t="s">
        <v>80</v>
      </c>
      <c r="E36" s="6">
        <v>80</v>
      </c>
      <c r="G36" t="s">
        <v>81</v>
      </c>
      <c r="H36" s="6">
        <v>78</v>
      </c>
      <c r="J36" t="s">
        <v>80</v>
      </c>
      <c r="K36" s="6">
        <v>75</v>
      </c>
    </row>
    <row r="37" spans="1:14">
      <c r="A37" t="s">
        <v>82</v>
      </c>
      <c r="B37" s="4">
        <v>25.71</v>
      </c>
      <c r="D37" t="s">
        <v>81</v>
      </c>
      <c r="E37" s="6">
        <v>72</v>
      </c>
      <c r="J37" t="s">
        <v>81</v>
      </c>
      <c r="K37" s="6">
        <v>70</v>
      </c>
      <c r="M37" t="s">
        <v>79</v>
      </c>
      <c r="N37" s="6">
        <f>SUM(N23:N36)</f>
        <v>47.86</v>
      </c>
    </row>
    <row r="38" spans="1:14">
      <c r="A38" t="s">
        <v>83</v>
      </c>
      <c r="B38" s="6">
        <v>17.71</v>
      </c>
      <c r="G38" t="s">
        <v>82</v>
      </c>
      <c r="H38" s="4">
        <v>24.36</v>
      </c>
      <c r="M38" t="s">
        <v>80</v>
      </c>
      <c r="N38" s="6">
        <v>75</v>
      </c>
    </row>
    <row r="39" spans="1:14">
      <c r="D39" t="s">
        <v>82</v>
      </c>
      <c r="E39" s="4">
        <v>25.67</v>
      </c>
      <c r="G39" t="s">
        <v>83</v>
      </c>
      <c r="H39" s="6">
        <v>17.36</v>
      </c>
      <c r="J39" t="s">
        <v>82</v>
      </c>
      <c r="K39" s="4">
        <v>27.42</v>
      </c>
      <c r="M39" t="s">
        <v>81</v>
      </c>
      <c r="N39" s="6">
        <v>70</v>
      </c>
    </row>
    <row r="40" spans="1:14">
      <c r="D40" t="s">
        <v>83</v>
      </c>
      <c r="E40" s="6">
        <v>17.670000000000002</v>
      </c>
      <c r="J40" t="s">
        <v>83</v>
      </c>
      <c r="K40" s="4">
        <v>22.42</v>
      </c>
    </row>
    <row r="41" spans="1:14">
      <c r="M41" t="s">
        <v>82</v>
      </c>
      <c r="N41" s="4">
        <v>27.14</v>
      </c>
    </row>
    <row r="42" spans="1:14">
      <c r="M42" t="s">
        <v>83</v>
      </c>
      <c r="N42" s="6">
        <v>22.14</v>
      </c>
    </row>
  </sheetData>
  <mergeCells count="11">
    <mergeCell ref="J1:K1"/>
    <mergeCell ref="M1:N1"/>
    <mergeCell ref="P1:Q1"/>
    <mergeCell ref="A22:B22"/>
    <mergeCell ref="D22:E22"/>
    <mergeCell ref="G22:H22"/>
    <mergeCell ref="A1:B1"/>
    <mergeCell ref="D1:E1"/>
    <mergeCell ref="G1:H1"/>
    <mergeCell ref="J22:K22"/>
    <mergeCell ref="M22:N2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C331-AE55-42AC-98E6-DCCA4AB424EC}">
  <dimension ref="A1:I31"/>
  <sheetViews>
    <sheetView tabSelected="1" topLeftCell="A8" workbookViewId="0">
      <selection activeCell="J25" sqref="J25"/>
    </sheetView>
  </sheetViews>
  <sheetFormatPr defaultRowHeight="15"/>
  <cols>
    <col min="1" max="1" width="6.42578125" customWidth="1"/>
    <col min="2" max="3" width="18.42578125" customWidth="1"/>
    <col min="4" max="4" width="17.85546875" customWidth="1"/>
    <col min="5" max="5" width="18.42578125" customWidth="1"/>
    <col min="6" max="6" width="18.140625" customWidth="1"/>
    <col min="7" max="7" width="18.42578125" customWidth="1"/>
    <col min="8" max="8" width="18.28515625" customWidth="1"/>
    <col min="9" max="9" width="18.5703125" customWidth="1"/>
  </cols>
  <sheetData>
    <row r="1" spans="1:9">
      <c r="B1" s="7" t="s">
        <v>104</v>
      </c>
      <c r="C1" s="7" t="s">
        <v>51</v>
      </c>
      <c r="D1" s="7" t="s">
        <v>105</v>
      </c>
      <c r="E1" s="7" t="s">
        <v>78</v>
      </c>
      <c r="F1" s="7" t="s">
        <v>106</v>
      </c>
      <c r="G1" s="7" t="s">
        <v>107</v>
      </c>
      <c r="H1" s="7" t="s">
        <v>108</v>
      </c>
      <c r="I1" s="7" t="s">
        <v>109</v>
      </c>
    </row>
    <row r="2" spans="1:9">
      <c r="A2">
        <v>1</v>
      </c>
      <c r="B2" t="s">
        <v>110</v>
      </c>
      <c r="C2" s="6">
        <v>45</v>
      </c>
      <c r="D2" s="4">
        <v>14.85</v>
      </c>
      <c r="E2" s="3">
        <v>10</v>
      </c>
      <c r="F2" t="s">
        <v>111</v>
      </c>
      <c r="G2" s="3">
        <v>30.15</v>
      </c>
      <c r="H2" t="s">
        <v>112</v>
      </c>
      <c r="I2" s="8">
        <v>46143</v>
      </c>
    </row>
    <row r="3" spans="1:9">
      <c r="A3">
        <v>2</v>
      </c>
      <c r="B3" t="s">
        <v>113</v>
      </c>
      <c r="C3" s="3">
        <v>80</v>
      </c>
      <c r="D3" s="4">
        <v>25.67</v>
      </c>
      <c r="E3" s="3">
        <v>10</v>
      </c>
      <c r="F3" t="s">
        <v>114</v>
      </c>
      <c r="G3" s="6">
        <v>54.33</v>
      </c>
      <c r="H3" t="s">
        <v>112</v>
      </c>
      <c r="I3" s="8">
        <v>46143</v>
      </c>
    </row>
    <row r="4" spans="1:9">
      <c r="A4">
        <v>3</v>
      </c>
      <c r="B4" t="s">
        <v>115</v>
      </c>
      <c r="C4" s="6">
        <v>45</v>
      </c>
      <c r="D4" s="4">
        <v>14.85</v>
      </c>
      <c r="E4" s="3">
        <v>10</v>
      </c>
      <c r="F4" t="s">
        <v>114</v>
      </c>
      <c r="G4" s="3">
        <v>30.15</v>
      </c>
      <c r="H4" t="s">
        <v>112</v>
      </c>
      <c r="I4" s="8">
        <v>46144</v>
      </c>
    </row>
    <row r="5" spans="1:9">
      <c r="A5">
        <v>4</v>
      </c>
      <c r="B5" t="s">
        <v>116</v>
      </c>
      <c r="C5" s="3">
        <v>60</v>
      </c>
      <c r="D5" s="4">
        <v>18.440000000000001</v>
      </c>
      <c r="E5" s="3">
        <v>10</v>
      </c>
      <c r="F5" t="s">
        <v>114</v>
      </c>
      <c r="G5" s="6">
        <v>41.56</v>
      </c>
      <c r="H5" t="s">
        <v>112</v>
      </c>
      <c r="I5" s="8">
        <v>46144</v>
      </c>
    </row>
    <row r="6" spans="1:9">
      <c r="A6">
        <v>5</v>
      </c>
      <c r="B6" t="s">
        <v>117</v>
      </c>
      <c r="C6" s="3">
        <v>40</v>
      </c>
      <c r="D6" s="4">
        <v>13.61</v>
      </c>
      <c r="E6" s="3">
        <v>10</v>
      </c>
      <c r="F6" t="s">
        <v>114</v>
      </c>
      <c r="G6" s="3">
        <v>26.39</v>
      </c>
      <c r="H6" t="s">
        <v>112</v>
      </c>
      <c r="I6" s="8">
        <v>46145</v>
      </c>
    </row>
    <row r="7" spans="1:9">
      <c r="A7">
        <v>6</v>
      </c>
      <c r="B7" t="s">
        <v>118</v>
      </c>
      <c r="C7" s="6">
        <v>45</v>
      </c>
      <c r="D7" s="4">
        <v>14.85</v>
      </c>
      <c r="E7" s="3">
        <v>10</v>
      </c>
      <c r="F7" t="s">
        <v>114</v>
      </c>
      <c r="G7" s="3">
        <v>30.15</v>
      </c>
      <c r="H7" t="s">
        <v>112</v>
      </c>
      <c r="I7" s="8">
        <v>46145</v>
      </c>
    </row>
    <row r="8" spans="1:9">
      <c r="A8">
        <v>7</v>
      </c>
      <c r="B8" t="s">
        <v>119</v>
      </c>
      <c r="C8" s="6">
        <v>45</v>
      </c>
      <c r="D8" s="4">
        <v>14.85</v>
      </c>
      <c r="E8" s="3">
        <v>10</v>
      </c>
      <c r="F8" t="s">
        <v>111</v>
      </c>
      <c r="G8" s="3">
        <v>30.15</v>
      </c>
      <c r="H8" t="s">
        <v>112</v>
      </c>
      <c r="I8" s="8">
        <v>46145</v>
      </c>
    </row>
    <row r="9" spans="1:9">
      <c r="A9">
        <v>8</v>
      </c>
      <c r="B9" t="s">
        <v>120</v>
      </c>
      <c r="C9" s="6">
        <v>85</v>
      </c>
      <c r="D9" s="4">
        <v>24.36</v>
      </c>
      <c r="E9" s="3">
        <v>10</v>
      </c>
      <c r="F9" t="s">
        <v>114</v>
      </c>
      <c r="G9" s="3">
        <v>60.64</v>
      </c>
      <c r="H9" t="s">
        <v>112</v>
      </c>
      <c r="I9" s="8">
        <v>46145</v>
      </c>
    </row>
    <row r="10" spans="1:9">
      <c r="A10">
        <v>9</v>
      </c>
      <c r="B10" t="s">
        <v>121</v>
      </c>
      <c r="C10" s="3">
        <v>40</v>
      </c>
      <c r="D10" s="4">
        <v>13.61</v>
      </c>
      <c r="E10" s="3">
        <v>10</v>
      </c>
      <c r="F10" t="s">
        <v>114</v>
      </c>
      <c r="G10" s="3">
        <v>26.39</v>
      </c>
      <c r="H10" t="s">
        <v>112</v>
      </c>
      <c r="I10" s="8">
        <v>46147</v>
      </c>
    </row>
    <row r="11" spans="1:9">
      <c r="A11">
        <v>10</v>
      </c>
      <c r="B11" t="s">
        <v>122</v>
      </c>
      <c r="C11" s="6">
        <v>35</v>
      </c>
      <c r="D11" s="4">
        <v>8.61</v>
      </c>
      <c r="E11" s="3">
        <v>10</v>
      </c>
      <c r="F11" t="s">
        <v>123</v>
      </c>
      <c r="G11" s="3">
        <v>26.39</v>
      </c>
      <c r="H11" t="s">
        <v>124</v>
      </c>
      <c r="I11" s="9">
        <v>46144</v>
      </c>
    </row>
    <row r="12" spans="1:9">
      <c r="A12">
        <v>11</v>
      </c>
      <c r="B12" t="s">
        <v>125</v>
      </c>
      <c r="C12" s="6">
        <v>70</v>
      </c>
      <c r="D12" s="4">
        <v>22.42</v>
      </c>
      <c r="E12" s="3">
        <v>10</v>
      </c>
      <c r="F12" t="s">
        <v>123</v>
      </c>
      <c r="G12" s="3">
        <v>47.58</v>
      </c>
      <c r="H12" t="s">
        <v>124</v>
      </c>
      <c r="I12" s="9">
        <v>46144</v>
      </c>
    </row>
    <row r="13" spans="1:9">
      <c r="A13">
        <v>12</v>
      </c>
      <c r="B13" t="s">
        <v>126</v>
      </c>
      <c r="C13" s="6">
        <v>40</v>
      </c>
      <c r="D13" s="6">
        <v>6.81</v>
      </c>
      <c r="E13" s="3">
        <v>5</v>
      </c>
      <c r="F13" t="s">
        <v>123</v>
      </c>
      <c r="G13" s="6">
        <v>33.19</v>
      </c>
      <c r="H13" t="s">
        <v>124</v>
      </c>
      <c r="I13" s="9">
        <v>46144</v>
      </c>
    </row>
    <row r="14" spans="1:9">
      <c r="A14">
        <v>13</v>
      </c>
      <c r="B14" t="s">
        <v>127</v>
      </c>
      <c r="C14" s="6">
        <v>45</v>
      </c>
      <c r="D14" s="4">
        <v>14.85</v>
      </c>
      <c r="E14" s="3">
        <v>10</v>
      </c>
      <c r="F14" t="s">
        <v>114</v>
      </c>
      <c r="G14" s="3">
        <v>30.15</v>
      </c>
      <c r="H14" t="s">
        <v>112</v>
      </c>
      <c r="I14" s="8">
        <v>46147</v>
      </c>
    </row>
    <row r="15" spans="1:9">
      <c r="A15">
        <v>14</v>
      </c>
      <c r="B15" t="s">
        <v>128</v>
      </c>
      <c r="C15" s="6">
        <v>45</v>
      </c>
      <c r="D15" s="4">
        <v>14.85</v>
      </c>
      <c r="E15" s="3">
        <v>10</v>
      </c>
      <c r="F15" t="s">
        <v>114</v>
      </c>
      <c r="G15" s="3">
        <v>30.15</v>
      </c>
      <c r="H15" t="s">
        <v>112</v>
      </c>
      <c r="I15" s="8">
        <v>46147</v>
      </c>
    </row>
    <row r="16" spans="1:9">
      <c r="A16">
        <v>15</v>
      </c>
      <c r="B16" t="s">
        <v>129</v>
      </c>
      <c r="C16" s="6">
        <v>85</v>
      </c>
      <c r="D16" s="4">
        <v>24.36</v>
      </c>
      <c r="E16" s="3">
        <v>10</v>
      </c>
      <c r="F16" t="s">
        <v>114</v>
      </c>
      <c r="G16" s="3">
        <v>60.64</v>
      </c>
      <c r="H16" t="s">
        <v>112</v>
      </c>
      <c r="I16" s="8">
        <v>46148</v>
      </c>
    </row>
    <row r="17" spans="1:9">
      <c r="A17">
        <v>16</v>
      </c>
      <c r="B17" t="s">
        <v>130</v>
      </c>
      <c r="C17" s="6">
        <v>78</v>
      </c>
      <c r="D17" s="6">
        <v>17.36</v>
      </c>
      <c r="E17" s="3">
        <v>10</v>
      </c>
      <c r="F17" t="s">
        <v>114</v>
      </c>
      <c r="G17" s="3">
        <v>60.64</v>
      </c>
      <c r="H17" t="s">
        <v>124</v>
      </c>
      <c r="I17" s="8">
        <v>46150</v>
      </c>
    </row>
    <row r="18" spans="1:9">
      <c r="A18">
        <v>17</v>
      </c>
      <c r="B18" t="s">
        <v>131</v>
      </c>
      <c r="C18" s="6">
        <v>72</v>
      </c>
      <c r="D18" s="6">
        <v>17.670000000000002</v>
      </c>
      <c r="E18" s="3">
        <v>10</v>
      </c>
      <c r="F18" t="s">
        <v>114</v>
      </c>
      <c r="G18" s="6">
        <v>54.33</v>
      </c>
      <c r="H18" t="s">
        <v>124</v>
      </c>
      <c r="I18" s="8">
        <v>46150</v>
      </c>
    </row>
    <row r="19" spans="1:9">
      <c r="A19">
        <v>18</v>
      </c>
      <c r="B19" t="s">
        <v>132</v>
      </c>
      <c r="C19" s="6">
        <v>62</v>
      </c>
      <c r="D19" s="6">
        <v>17.71</v>
      </c>
      <c r="E19" s="3">
        <v>10</v>
      </c>
      <c r="F19" t="s">
        <v>114</v>
      </c>
      <c r="G19" s="6">
        <v>44.29</v>
      </c>
      <c r="H19" t="s">
        <v>124</v>
      </c>
      <c r="I19" s="8">
        <v>46150</v>
      </c>
    </row>
    <row r="20" spans="1:9">
      <c r="A20">
        <v>19</v>
      </c>
      <c r="B20" t="s">
        <v>133</v>
      </c>
      <c r="C20" s="4">
        <v>35</v>
      </c>
      <c r="D20" s="4">
        <v>8.09</v>
      </c>
      <c r="E20" s="3">
        <v>5</v>
      </c>
      <c r="F20" t="s">
        <v>114</v>
      </c>
      <c r="G20" s="3">
        <v>26.91</v>
      </c>
      <c r="H20" t="s">
        <v>124</v>
      </c>
      <c r="I20" s="8">
        <v>46150</v>
      </c>
    </row>
    <row r="21" spans="1:9">
      <c r="A21">
        <v>20</v>
      </c>
      <c r="B21" t="s">
        <v>134</v>
      </c>
      <c r="C21" s="6">
        <v>40</v>
      </c>
      <c r="D21" s="6">
        <v>6.81</v>
      </c>
      <c r="E21" s="3">
        <v>5</v>
      </c>
      <c r="F21" t="s">
        <v>114</v>
      </c>
      <c r="G21" s="6">
        <v>33.19</v>
      </c>
      <c r="H21" t="s">
        <v>124</v>
      </c>
      <c r="I21" s="8">
        <v>46150</v>
      </c>
    </row>
    <row r="22" spans="1:9">
      <c r="A22">
        <v>21</v>
      </c>
      <c r="B22" t="s">
        <v>135</v>
      </c>
      <c r="C22" s="4">
        <v>55</v>
      </c>
      <c r="D22" s="4">
        <v>10.97</v>
      </c>
      <c r="E22" s="3">
        <v>5</v>
      </c>
      <c r="F22" t="s">
        <v>114</v>
      </c>
      <c r="G22" s="6">
        <v>37.03</v>
      </c>
      <c r="H22" t="s">
        <v>112</v>
      </c>
      <c r="I22" s="8">
        <v>46152</v>
      </c>
    </row>
    <row r="23" spans="1:9">
      <c r="A23">
        <v>22</v>
      </c>
      <c r="B23" t="s">
        <v>136</v>
      </c>
      <c r="C23" s="4">
        <v>30</v>
      </c>
      <c r="D23" s="4">
        <v>5.35</v>
      </c>
      <c r="E23" s="3">
        <v>5</v>
      </c>
      <c r="F23" t="s">
        <v>114</v>
      </c>
      <c r="G23" s="6">
        <v>19.649999999999999</v>
      </c>
      <c r="H23" t="s">
        <v>112</v>
      </c>
      <c r="I23" s="8">
        <v>46152</v>
      </c>
    </row>
    <row r="24" spans="1:9">
      <c r="A24">
        <v>23</v>
      </c>
      <c r="B24" t="s">
        <v>137</v>
      </c>
      <c r="C24" s="6">
        <v>85</v>
      </c>
      <c r="D24" s="4">
        <v>24.36</v>
      </c>
      <c r="E24" s="3">
        <v>10</v>
      </c>
      <c r="F24" t="s">
        <v>111</v>
      </c>
      <c r="G24" s="3">
        <v>60.64</v>
      </c>
      <c r="H24" t="s">
        <v>112</v>
      </c>
      <c r="I24" s="8">
        <v>46155</v>
      </c>
    </row>
    <row r="25" spans="1:9">
      <c r="A25">
        <v>24</v>
      </c>
      <c r="B25" t="s">
        <v>138</v>
      </c>
      <c r="C25" s="3">
        <v>80</v>
      </c>
      <c r="D25" s="4">
        <v>25.67</v>
      </c>
      <c r="E25" s="3">
        <v>10</v>
      </c>
      <c r="F25" t="s">
        <v>111</v>
      </c>
      <c r="G25" s="6">
        <v>54.33</v>
      </c>
      <c r="H25" t="s">
        <v>112</v>
      </c>
      <c r="I25" s="8">
        <v>46155</v>
      </c>
    </row>
    <row r="26" spans="1:9">
      <c r="A26">
        <v>25</v>
      </c>
      <c r="B26" t="s">
        <v>139</v>
      </c>
      <c r="C26" s="6">
        <v>60</v>
      </c>
      <c r="D26" s="4">
        <v>24.09</v>
      </c>
      <c r="E26" s="3">
        <v>10</v>
      </c>
      <c r="F26" t="s">
        <v>111</v>
      </c>
      <c r="G26" s="6">
        <v>35.909999999999997</v>
      </c>
      <c r="H26" t="s">
        <v>112</v>
      </c>
      <c r="I26" s="8">
        <v>46155</v>
      </c>
    </row>
    <row r="27" spans="1:9">
      <c r="A27">
        <v>26</v>
      </c>
      <c r="B27" t="s">
        <v>140</v>
      </c>
      <c r="C27" s="3">
        <v>40</v>
      </c>
      <c r="D27" s="4">
        <v>13.61</v>
      </c>
      <c r="E27" s="3">
        <v>10</v>
      </c>
      <c r="F27" t="s">
        <v>114</v>
      </c>
      <c r="G27" s="3">
        <v>26.39</v>
      </c>
      <c r="H27" t="s">
        <v>112</v>
      </c>
      <c r="I27" s="8">
        <v>46155</v>
      </c>
    </row>
    <row r="28" spans="1:9">
      <c r="A28">
        <v>27</v>
      </c>
      <c r="B28" t="s">
        <v>141</v>
      </c>
      <c r="C28" s="3">
        <v>85</v>
      </c>
      <c r="D28" s="3">
        <v>24.98</v>
      </c>
      <c r="E28" s="4">
        <v>10</v>
      </c>
      <c r="F28" t="s">
        <v>114</v>
      </c>
      <c r="G28" s="3">
        <v>60.02</v>
      </c>
      <c r="H28" t="s">
        <v>112</v>
      </c>
      <c r="I28" s="8">
        <v>46155</v>
      </c>
    </row>
    <row r="29" spans="1:9">
      <c r="A29">
        <v>28</v>
      </c>
      <c r="B29" t="s">
        <v>142</v>
      </c>
      <c r="C29" s="6">
        <v>50</v>
      </c>
      <c r="D29" s="6">
        <v>14.09</v>
      </c>
      <c r="E29" s="3">
        <v>10</v>
      </c>
      <c r="F29" t="s">
        <v>123</v>
      </c>
      <c r="G29" s="6">
        <v>35.909999999999997</v>
      </c>
      <c r="H29" t="s">
        <v>124</v>
      </c>
      <c r="I29" s="8">
        <v>46165</v>
      </c>
    </row>
    <row r="30" spans="1:9">
      <c r="A30">
        <v>29</v>
      </c>
      <c r="B30" t="s">
        <v>143</v>
      </c>
      <c r="C30" s="4">
        <v>42</v>
      </c>
      <c r="D30" s="4">
        <v>10.07</v>
      </c>
      <c r="E30" s="3">
        <v>5</v>
      </c>
      <c r="F30" t="s">
        <v>123</v>
      </c>
      <c r="G30" s="6">
        <v>32.229999999999997</v>
      </c>
      <c r="H30" t="s">
        <v>124</v>
      </c>
      <c r="I30" s="8">
        <v>46165</v>
      </c>
    </row>
    <row r="31" spans="1:9">
      <c r="A31">
        <v>30</v>
      </c>
      <c r="B31" t="s">
        <v>144</v>
      </c>
      <c r="C31" s="6">
        <v>70</v>
      </c>
      <c r="D31" s="4">
        <v>25.71</v>
      </c>
      <c r="E31" s="3">
        <v>10</v>
      </c>
      <c r="F31" t="s">
        <v>111</v>
      </c>
      <c r="G31" s="6">
        <v>44.29</v>
      </c>
      <c r="H31" t="s">
        <v>112</v>
      </c>
      <c r="I31" s="8">
        <v>46170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1C57-9F85-4C83-B350-7C044D722F8E}">
  <dimension ref="B1:I1"/>
  <sheetViews>
    <sheetView workbookViewId="0">
      <selection activeCell="D6" sqref="D6"/>
    </sheetView>
  </sheetViews>
  <sheetFormatPr defaultRowHeight="15"/>
  <cols>
    <col min="1" max="1" width="5.5703125" customWidth="1"/>
    <col min="2" max="2" width="18.42578125" customWidth="1"/>
    <col min="3" max="3" width="17.85546875" customWidth="1"/>
    <col min="4" max="4" width="18.5703125" customWidth="1"/>
    <col min="5" max="5" width="18.42578125" customWidth="1"/>
    <col min="6" max="6" width="18.5703125" customWidth="1"/>
    <col min="7" max="7" width="18.42578125" customWidth="1"/>
    <col min="8" max="9" width="18.28515625" customWidth="1"/>
  </cols>
  <sheetData>
    <row r="1" spans="2:9">
      <c r="B1" s="7" t="s">
        <v>145</v>
      </c>
      <c r="C1" s="7" t="s">
        <v>51</v>
      </c>
      <c r="D1" s="7" t="s">
        <v>105</v>
      </c>
      <c r="E1" s="7" t="s">
        <v>78</v>
      </c>
      <c r="F1" s="7" t="s">
        <v>106</v>
      </c>
      <c r="G1" s="7" t="s">
        <v>107</v>
      </c>
      <c r="H1" s="7" t="s">
        <v>108</v>
      </c>
      <c r="I1" s="7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41EC-E416-4372-BA64-590B08B49A27}">
  <dimension ref="B1:I1"/>
  <sheetViews>
    <sheetView workbookViewId="0">
      <selection activeCell="D3" sqref="D3"/>
    </sheetView>
  </sheetViews>
  <sheetFormatPr defaultRowHeight="15"/>
  <cols>
    <col min="1" max="1" width="5.85546875" customWidth="1"/>
    <col min="2" max="2" width="18.42578125" customWidth="1"/>
    <col min="3" max="3" width="18.28515625" customWidth="1"/>
    <col min="4" max="6" width="18.42578125" customWidth="1"/>
    <col min="7" max="7" width="18.28515625" customWidth="1"/>
    <col min="8" max="8" width="18" customWidth="1"/>
    <col min="9" max="9" width="18.5703125" customWidth="1"/>
  </cols>
  <sheetData>
    <row r="1" spans="2:9">
      <c r="B1" s="7" t="s">
        <v>104</v>
      </c>
      <c r="C1" s="7" t="s">
        <v>51</v>
      </c>
      <c r="D1" s="7" t="s">
        <v>105</v>
      </c>
      <c r="E1" s="7" t="s">
        <v>78</v>
      </c>
      <c r="F1" s="7" t="s">
        <v>106</v>
      </c>
      <c r="G1" s="7" t="s">
        <v>107</v>
      </c>
      <c r="H1" s="7" t="s">
        <v>108</v>
      </c>
      <c r="I1" s="7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F60A-0D80-493D-AB60-603EC22C8C18}">
  <dimension ref="B1:I1"/>
  <sheetViews>
    <sheetView workbookViewId="0">
      <selection activeCell="D5" sqref="D5"/>
    </sheetView>
  </sheetViews>
  <sheetFormatPr defaultRowHeight="15"/>
  <cols>
    <col min="1" max="1" width="5.5703125" customWidth="1"/>
    <col min="2" max="2" width="18.28515625" customWidth="1"/>
    <col min="3" max="3" width="18.140625" customWidth="1"/>
    <col min="4" max="4" width="18.5703125" customWidth="1"/>
    <col min="5" max="6" width="18.28515625" customWidth="1"/>
    <col min="7" max="8" width="17.85546875" customWidth="1"/>
    <col min="9" max="9" width="17.140625" customWidth="1"/>
  </cols>
  <sheetData>
    <row r="1" spans="2:9">
      <c r="B1" s="7" t="s">
        <v>104</v>
      </c>
      <c r="C1" s="7" t="s">
        <v>51</v>
      </c>
      <c r="D1" s="7" t="s">
        <v>105</v>
      </c>
      <c r="E1" s="7" t="s">
        <v>78</v>
      </c>
      <c r="F1" s="7" t="s">
        <v>106</v>
      </c>
      <c r="G1" s="7" t="s">
        <v>107</v>
      </c>
      <c r="H1" s="7" t="s">
        <v>108</v>
      </c>
      <c r="I1" s="7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E90B-BE56-4352-9E13-62301357C1F1}">
  <dimension ref="A1:K5"/>
  <sheetViews>
    <sheetView workbookViewId="0">
      <selection activeCell="D28" sqref="D28"/>
    </sheetView>
  </sheetViews>
  <sheetFormatPr defaultRowHeight="15"/>
  <cols>
    <col min="1" max="1" width="18.140625" customWidth="1"/>
    <col min="2" max="2" width="18.28515625" customWidth="1"/>
    <col min="3" max="3" width="18.42578125" customWidth="1"/>
    <col min="4" max="4" width="18.5703125" customWidth="1"/>
    <col min="5" max="5" width="18.140625" customWidth="1"/>
    <col min="6" max="6" width="18" customWidth="1"/>
    <col min="7" max="7" width="15.85546875" customWidth="1"/>
    <col min="8" max="8" width="17.85546875" customWidth="1"/>
    <col min="9" max="9" width="18.140625" customWidth="1"/>
    <col min="10" max="10" width="18.28515625" customWidth="1"/>
    <col min="11" max="11" width="18.42578125" customWidth="1"/>
  </cols>
  <sheetData>
    <row r="1" spans="1:11">
      <c r="A1" s="10" t="s">
        <v>146</v>
      </c>
      <c r="B1" s="10" t="s">
        <v>51</v>
      </c>
      <c r="C1" s="10" t="s">
        <v>147</v>
      </c>
      <c r="D1" s="10" t="s">
        <v>105</v>
      </c>
      <c r="E1" s="10" t="s">
        <v>78</v>
      </c>
      <c r="F1" s="10" t="s">
        <v>148</v>
      </c>
      <c r="G1" s="10" t="s">
        <v>107</v>
      </c>
      <c r="H1" s="10" t="s">
        <v>149</v>
      </c>
      <c r="I1" s="10" t="s">
        <v>150</v>
      </c>
      <c r="J1" s="10" t="s">
        <v>151</v>
      </c>
      <c r="K1" s="10" t="s">
        <v>152</v>
      </c>
    </row>
    <row r="2" spans="1:11">
      <c r="A2" t="s">
        <v>153</v>
      </c>
    </row>
    <row r="3" spans="1:11">
      <c r="A3" t="s">
        <v>154</v>
      </c>
    </row>
    <row r="4" spans="1:11">
      <c r="A4" t="s">
        <v>155</v>
      </c>
    </row>
    <row r="5" spans="1:11">
      <c r="A5" t="s">
        <v>156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torres</dc:creator>
  <cp:keywords/>
  <dc:description/>
  <cp:lastModifiedBy/>
  <cp:revision/>
  <dcterms:created xsi:type="dcterms:W3CDTF">2026-04-06T19:15:46Z</dcterms:created>
  <dcterms:modified xsi:type="dcterms:W3CDTF">2026-06-05T13:55:46Z</dcterms:modified>
  <cp:category/>
  <cp:contentStatus/>
</cp:coreProperties>
</file>